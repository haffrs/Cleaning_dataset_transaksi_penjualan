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  <sheet xmlns:r="http://schemas.openxmlformats.org/officeDocument/2006/relationships" name="📋 Panduan Pembersih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404040"/>
      <sz val="10"/>
    </font>
    <font>
      <b val="1"/>
      <color rgb="00FFFFFF"/>
      <sz val="11"/>
    </font>
    <font>
      <sz val="10"/>
    </font>
    <font>
      <b val="1"/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EF2FA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top" wrapText="1"/>
    </xf>
    <xf numFmtId="0" fontId="7" fillId="6" borderId="0" applyAlignment="1" pivotButton="0" quotePrefix="0" xfId="0">
      <alignment horizontal="center"/>
    </xf>
    <xf numFmtId="0" fontId="5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19" customWidth="1" min="4" max="4"/>
    <col width="15" customWidth="1" min="5" max="5"/>
    <col width="9" customWidth="1" min="6" max="6"/>
    <col width="15" customWidth="1" min="7" max="7"/>
    <col width="12" customWidth="1" min="8" max="8"/>
    <col width="13" customWidth="1" min="9" max="9"/>
    <col width="20" customWidth="1" min="10" max="10"/>
    <col width="18" customWidth="1" min="11" max="11"/>
  </cols>
  <sheetData>
    <row r="1">
      <c r="A1" s="1" t="inlineStr">
        <is>
          <t>ID Transaksi</t>
        </is>
      </c>
      <c r="B1" s="1" t="inlineStr">
        <is>
          <t>Tanggal</t>
        </is>
      </c>
      <c r="C1" s="1" t="inlineStr">
        <is>
          <t>Nama Pelanggan</t>
        </is>
      </c>
      <c r="D1" s="1" t="inlineStr">
        <is>
          <t>Produk</t>
        </is>
      </c>
      <c r="E1" s="1" t="inlineStr">
        <is>
          <t>Kategori</t>
        </is>
      </c>
      <c r="F1" s="1" t="inlineStr">
        <is>
          <t>Jumlah</t>
        </is>
      </c>
      <c r="G1" s="1" t="inlineStr">
        <is>
          <t>Harga Satuan</t>
        </is>
      </c>
      <c r="H1" s="1" t="inlineStr">
        <is>
          <t>Total</t>
        </is>
      </c>
      <c r="I1" s="1" t="inlineStr">
        <is>
          <t>Kota</t>
        </is>
      </c>
      <c r="J1" s="1" t="inlineStr">
        <is>
          <t>Status Pembayaran</t>
        </is>
      </c>
      <c r="K1" s="1" t="inlineStr">
        <is>
          <t>No. HP</t>
        </is>
      </c>
    </row>
    <row r="2">
      <c r="A2" t="inlineStr">
        <is>
          <t>TRX001</t>
        </is>
      </c>
      <c r="B2" t="inlineStr">
        <is>
          <t>2024-01-15</t>
        </is>
      </c>
      <c r="C2" t="inlineStr">
        <is>
          <t>Budi Santoso</t>
        </is>
      </c>
      <c r="D2" t="inlineStr">
        <is>
          <t>Laptop Asus</t>
        </is>
      </c>
      <c r="E2" t="inlineStr">
        <is>
          <t>Elektronik</t>
        </is>
      </c>
      <c r="F2" t="n">
        <v>1</v>
      </c>
      <c r="G2" t="n">
        <v>8500000</v>
      </c>
      <c r="H2" t="n">
        <v>8500000</v>
      </c>
      <c r="I2" t="inlineStr">
        <is>
          <t>Surabaya</t>
        </is>
      </c>
      <c r="J2" t="inlineStr">
        <is>
          <t>Lunas</t>
        </is>
      </c>
      <c r="K2" t="inlineStr">
        <is>
          <t>081234567890</t>
        </is>
      </c>
    </row>
    <row r="3">
      <c r="A3" t="inlineStr">
        <is>
          <t>TRX002</t>
        </is>
      </c>
      <c r="B3" t="inlineStr">
        <is>
          <t>15/01/2024</t>
        </is>
      </c>
      <c r="C3" t="inlineStr">
        <is>
          <t>siti rahayu</t>
        </is>
      </c>
      <c r="D3" t="inlineStr">
        <is>
          <t>Mouse Wireless</t>
        </is>
      </c>
      <c r="E3" t="inlineStr">
        <is>
          <t>Elektronik</t>
        </is>
      </c>
      <c r="F3" t="n">
        <v>2</v>
      </c>
      <c r="G3" t="inlineStr">
        <is>
          <t>150.000</t>
        </is>
      </c>
      <c r="H3" t="n">
        <v>300000</v>
      </c>
      <c r="I3" t="inlineStr">
        <is>
          <t>JAKARTA</t>
        </is>
      </c>
      <c r="J3" t="inlineStr">
        <is>
          <t>lunas</t>
        </is>
      </c>
      <c r="K3" t="inlineStr">
        <is>
          <t>0856-1234-5678</t>
        </is>
      </c>
    </row>
    <row r="4">
      <c r="A4" t="inlineStr">
        <is>
          <t>TRX003</t>
        </is>
      </c>
      <c r="B4" t="inlineStr">
        <is>
          <t>2024-01-16</t>
        </is>
      </c>
      <c r="C4" t="inlineStr">
        <is>
          <t>AHMAD FAUZI</t>
        </is>
      </c>
      <c r="D4" t="inlineStr">
        <is>
          <t>Kursi Kantor</t>
        </is>
      </c>
      <c r="E4" t="inlineStr">
        <is>
          <t>Furniture</t>
        </is>
      </c>
      <c r="F4" t="n">
        <v>1</v>
      </c>
      <c r="G4" t="n">
        <v>1200000</v>
      </c>
      <c r="H4" t="n">
        <v>1200000</v>
      </c>
      <c r="I4" t="inlineStr">
        <is>
          <t>Bandung</t>
        </is>
      </c>
      <c r="J4" t="inlineStr">
        <is>
          <t>Belum Bayar</t>
        </is>
      </c>
      <c r="K4" t="inlineStr">
        <is>
          <t>62812345678</t>
        </is>
      </c>
    </row>
    <row r="5">
      <c r="A5" t="inlineStr">
        <is>
          <t>TRX001</t>
        </is>
      </c>
      <c r="B5" t="inlineStr">
        <is>
          <t>2024-01-16</t>
        </is>
      </c>
      <c r="C5" t="inlineStr">
        <is>
          <t>Budi Santoso</t>
        </is>
      </c>
      <c r="D5" t="inlineStr">
        <is>
          <t>Laptop Asus</t>
        </is>
      </c>
      <c r="E5" t="inlineStr">
        <is>
          <t>Elektronik</t>
        </is>
      </c>
      <c r="F5" t="n">
        <v>1</v>
      </c>
      <c r="G5" t="n">
        <v>8500000</v>
      </c>
      <c r="H5" t="n">
        <v>8500000</v>
      </c>
      <c r="I5" t="inlineStr">
        <is>
          <t>Surabaya</t>
        </is>
      </c>
      <c r="J5" t="inlineStr">
        <is>
          <t>Lunas</t>
        </is>
      </c>
      <c r="K5" t="inlineStr">
        <is>
          <t>081234567890</t>
        </is>
      </c>
    </row>
    <row r="6">
      <c r="A6" t="inlineStr">
        <is>
          <t>TRX004</t>
        </is>
      </c>
      <c r="B6" t="inlineStr">
        <is>
          <t>Jan 17 2024</t>
        </is>
      </c>
      <c r="C6" t="inlineStr">
        <is>
          <t xml:space="preserve">Dewi Lestari </t>
        </is>
      </c>
      <c r="D6" t="inlineStr">
        <is>
          <t>Printer Canon</t>
        </is>
      </c>
      <c r="E6" t="inlineStr">
        <is>
          <t>elektronik</t>
        </is>
      </c>
      <c r="F6" t="n">
        <v>1</v>
      </c>
      <c r="G6" t="n">
        <v>2300000</v>
      </c>
      <c r="I6" t="inlineStr">
        <is>
          <t>surabaya</t>
        </is>
      </c>
      <c r="J6" t="inlineStr">
        <is>
          <t>Cicilan</t>
        </is>
      </c>
      <c r="K6" t="inlineStr">
        <is>
          <t>085-987-654-321</t>
        </is>
      </c>
    </row>
    <row r="7">
      <c r="A7" t="inlineStr">
        <is>
          <t>TRX005</t>
        </is>
      </c>
      <c r="B7" t="inlineStr">
        <is>
          <t>2024-01-17</t>
        </is>
      </c>
      <c r="C7" t="inlineStr">
        <is>
          <t xml:space="preserve">  Eko Prasetyo</t>
        </is>
      </c>
      <c r="D7" t="inlineStr">
        <is>
          <t>Meja Kerja</t>
        </is>
      </c>
      <c r="E7" t="inlineStr">
        <is>
          <t>Furniture</t>
        </is>
      </c>
      <c r="F7" t="n">
        <v>2</v>
      </c>
      <c r="G7" t="n">
        <v>850000</v>
      </c>
      <c r="H7" t="n">
        <v>1700000</v>
      </c>
      <c r="I7" t="inlineStr">
        <is>
          <t>Semarang</t>
        </is>
      </c>
      <c r="J7" t="inlineStr">
        <is>
          <t>LUNAS</t>
        </is>
      </c>
      <c r="K7" t="inlineStr">
        <is>
          <t>081122334455</t>
        </is>
      </c>
    </row>
    <row r="8">
      <c r="A8" t="inlineStr">
        <is>
          <t>TRX006</t>
        </is>
      </c>
      <c r="B8" t="inlineStr">
        <is>
          <t>2024-01-18</t>
        </is>
      </c>
      <c r="C8" t="inlineStr">
        <is>
          <t>Fajar Nugroho</t>
        </is>
      </c>
      <c r="D8" t="inlineStr">
        <is>
          <t>Keyboard Mech</t>
        </is>
      </c>
      <c r="E8" t="inlineStr">
        <is>
          <t>Elektronik</t>
        </is>
      </c>
      <c r="F8" t="n">
        <v>3</v>
      </c>
      <c r="G8" t="n">
        <v>450000</v>
      </c>
      <c r="H8" t="n">
        <v>1350000</v>
      </c>
      <c r="I8" t="inlineStr">
        <is>
          <t>Yogyakarta</t>
        </is>
      </c>
      <c r="J8" t="inlineStr">
        <is>
          <t>lunas</t>
        </is>
      </c>
      <c r="K8" t="inlineStr">
        <is>
          <t>089876543210</t>
        </is>
      </c>
    </row>
    <row r="9">
      <c r="A9" t="inlineStr">
        <is>
          <t>TRX007</t>
        </is>
      </c>
      <c r="B9" t="inlineStr">
        <is>
          <t>18-01-2024</t>
        </is>
      </c>
      <c r="C9" t="inlineStr">
        <is>
          <t>Gita Puspita</t>
        </is>
      </c>
      <c r="D9" t="inlineStr">
        <is>
          <t>Monitor LG</t>
        </is>
      </c>
      <c r="E9" t="inlineStr">
        <is>
          <t>Elektronik</t>
        </is>
      </c>
      <c r="F9" t="n">
        <v>1</v>
      </c>
      <c r="G9" t="n">
        <v>3200000</v>
      </c>
      <c r="H9" t="inlineStr">
        <is>
          <t>3.200.000</t>
        </is>
      </c>
      <c r="I9" t="inlineStr">
        <is>
          <t>Malang</t>
        </is>
      </c>
      <c r="J9" t="inlineStr">
        <is>
          <t>Belum bayar</t>
        </is>
      </c>
      <c r="K9" t="inlineStr">
        <is>
          <t>081298765432</t>
        </is>
      </c>
    </row>
    <row r="10">
      <c r="A10" t="inlineStr">
        <is>
          <t>TRX008</t>
        </is>
      </c>
      <c r="B10" t="inlineStr">
        <is>
          <t>2024-01-19</t>
        </is>
      </c>
      <c r="C10" t="inlineStr">
        <is>
          <t>Hendra Wijaya</t>
        </is>
      </c>
      <c r="D10" t="inlineStr">
        <is>
          <t>Lampu LED</t>
        </is>
      </c>
      <c r="E10" t="inlineStr">
        <is>
          <t>Rumah Tangga</t>
        </is>
      </c>
      <c r="F10" t="n">
        <v>10</v>
      </c>
      <c r="G10" t="n">
        <v>25000</v>
      </c>
      <c r="H10" t="n">
        <v>250000</v>
      </c>
      <c r="I10" t="inlineStr">
        <is>
          <t>Surabaya</t>
        </is>
      </c>
      <c r="J10" t="inlineStr">
        <is>
          <t>Lunas</t>
        </is>
      </c>
      <c r="K10" t="inlineStr">
        <is>
          <t>N/A</t>
        </is>
      </c>
    </row>
    <row r="11">
      <c r="A11" t="inlineStr">
        <is>
          <t>TRX009</t>
        </is>
      </c>
      <c r="B11" t="inlineStr">
        <is>
          <t>2024-01-19</t>
        </is>
      </c>
      <c r="C11" t="inlineStr">
        <is>
          <t>Indah Permata</t>
        </is>
      </c>
      <c r="D11" t="inlineStr">
        <is>
          <t>Sofa 3 Seater</t>
        </is>
      </c>
      <c r="E11" t="inlineStr">
        <is>
          <t>Furniture</t>
        </is>
      </c>
      <c r="F11" t="n">
        <v>1</v>
      </c>
      <c r="G11" t="n">
        <v>4500000</v>
      </c>
      <c r="H11" t="n">
        <v>4500000</v>
      </c>
      <c r="I11" t="inlineStr">
        <is>
          <t>Denpasar</t>
        </is>
      </c>
      <c r="J11" t="inlineStr">
        <is>
          <t>DP</t>
        </is>
      </c>
      <c r="K11" t="inlineStr">
        <is>
          <t>082134567890</t>
        </is>
      </c>
    </row>
    <row r="12">
      <c r="A12" t="inlineStr">
        <is>
          <t>TRX010</t>
        </is>
      </c>
      <c r="B12" t="inlineStr">
        <is>
          <t>20/1/2024</t>
        </is>
      </c>
      <c r="C12" t="inlineStr">
        <is>
          <t>Joko Widodo</t>
        </is>
      </c>
      <c r="D12" t="inlineStr">
        <is>
          <t>Blender Philips</t>
        </is>
      </c>
      <c r="E12" t="inlineStr">
        <is>
          <t>Rumah Tangga</t>
        </is>
      </c>
      <c r="F12" t="n">
        <v>2</v>
      </c>
      <c r="G12" t="n">
        <v>350000</v>
      </c>
      <c r="H12" t="n">
        <v>700000</v>
      </c>
      <c r="I12" t="inlineStr">
        <is>
          <t>Solo</t>
        </is>
      </c>
      <c r="J12" t="inlineStr">
        <is>
          <t>Lunas</t>
        </is>
      </c>
      <c r="K12" t="inlineStr">
        <is>
          <t>087712345678</t>
        </is>
      </c>
    </row>
    <row r="13">
      <c r="A13" t="inlineStr">
        <is>
          <t>TRX011</t>
        </is>
      </c>
      <c r="B13" t="inlineStr">
        <is>
          <t>2024-01-20</t>
        </is>
      </c>
      <c r="C13" t="inlineStr">
        <is>
          <t>Kartini Sari</t>
        </is>
      </c>
      <c r="D13" t="inlineStr">
        <is>
          <t>Headphone Sony</t>
        </is>
      </c>
      <c r="E13" t="inlineStr">
        <is>
          <t>Elektronik</t>
        </is>
      </c>
      <c r="F13" t="n">
        <v>1</v>
      </c>
      <c r="G13" t="n">
        <v>850000</v>
      </c>
      <c r="H13" t="n">
        <v>850000</v>
      </c>
      <c r="I13" t="inlineStr">
        <is>
          <t>Bandung</t>
        </is>
      </c>
      <c r="J13" t="inlineStr">
        <is>
          <t>Lunas</t>
        </is>
      </c>
      <c r="K13" t="inlineStr">
        <is>
          <t>081345678901</t>
        </is>
      </c>
    </row>
    <row r="14">
      <c r="A14" t="inlineStr">
        <is>
          <t>TRX012</t>
        </is>
      </c>
      <c r="B14" t="inlineStr">
        <is>
          <t>2024-01-21</t>
        </is>
      </c>
      <c r="C14" t="inlineStr">
        <is>
          <t>Lukman Hakim</t>
        </is>
      </c>
      <c r="D14" t="inlineStr">
        <is>
          <t>Lemari Pakaian</t>
        </is>
      </c>
      <c r="E14" t="inlineStr">
        <is>
          <t>Furniture</t>
        </is>
      </c>
      <c r="F14" t="n">
        <v>1</v>
      </c>
      <c r="G14" t="n">
        <v>2800000</v>
      </c>
      <c r="I14" t="inlineStr">
        <is>
          <t>Jakarta</t>
        </is>
      </c>
      <c r="J14" t="inlineStr">
        <is>
          <t>Belum Bayar</t>
        </is>
      </c>
      <c r="K14" t="inlineStr">
        <is>
          <t>0813-4567-8901</t>
        </is>
      </c>
    </row>
    <row r="15">
      <c r="A15" t="inlineStr">
        <is>
          <t>TRX013</t>
        </is>
      </c>
      <c r="B15" t="inlineStr">
        <is>
          <t>21-Jan-2024</t>
        </is>
      </c>
      <c r="C15" t="inlineStr">
        <is>
          <t>Maria Magdalena</t>
        </is>
      </c>
      <c r="D15" t="inlineStr">
        <is>
          <t>Rice Cooker</t>
        </is>
      </c>
      <c r="E15" t="inlineStr">
        <is>
          <t>rumah tangga</t>
        </is>
      </c>
      <c r="F15" t="n">
        <v>1</v>
      </c>
      <c r="G15" t="n">
        <v>450000</v>
      </c>
      <c r="H15" t="n">
        <v>450000</v>
      </c>
      <c r="I15" t="inlineStr">
        <is>
          <t>Surabaya</t>
        </is>
      </c>
      <c r="J15" t="inlineStr">
        <is>
          <t>Lunas</t>
        </is>
      </c>
      <c r="K15" t="inlineStr">
        <is>
          <t>082298765432</t>
        </is>
      </c>
    </row>
    <row r="16">
      <c r="A16" t="inlineStr">
        <is>
          <t>TRX014</t>
        </is>
      </c>
      <c r="B16" t="inlineStr">
        <is>
          <t>2024-01-22</t>
        </is>
      </c>
      <c r="C16" t="inlineStr">
        <is>
          <t>Nanda Kurniawan</t>
        </is>
      </c>
      <c r="D16" t="inlineStr">
        <is>
          <t>Webcam Logitech</t>
        </is>
      </c>
      <c r="E16" t="inlineStr">
        <is>
          <t>Elektronik</t>
        </is>
      </c>
      <c r="F16" t="n">
        <v>2</v>
      </c>
      <c r="G16" t="inlineStr">
        <is>
          <t>600000</t>
        </is>
      </c>
      <c r="H16" t="n">
        <v>1200000</v>
      </c>
      <c r="I16" t="inlineStr">
        <is>
          <t>SEMARANG</t>
        </is>
      </c>
      <c r="J16" t="inlineStr">
        <is>
          <t>lunas</t>
        </is>
      </c>
      <c r="K16" t="inlineStr">
        <is>
          <t>085167890123</t>
        </is>
      </c>
    </row>
    <row r="17">
      <c r="A17" t="inlineStr">
        <is>
          <t>TRX015</t>
        </is>
      </c>
      <c r="B17" t="inlineStr">
        <is>
          <t>2024-01-22</t>
        </is>
      </c>
      <c r="C17" t="inlineStr">
        <is>
          <t>Olivia Tanaka</t>
        </is>
      </c>
      <c r="D17" t="inlineStr">
        <is>
          <t>Karpet Bulu</t>
        </is>
      </c>
      <c r="E17" t="inlineStr">
        <is>
          <t>Rumah Tangga</t>
        </is>
      </c>
      <c r="F17" t="n">
        <v>3</v>
      </c>
      <c r="G17" t="n">
        <v>180000</v>
      </c>
      <c r="H17" t="n">
        <v>540000</v>
      </c>
      <c r="I17" t="inlineStr">
        <is>
          <t>Malang</t>
        </is>
      </c>
      <c r="J17" t="inlineStr">
        <is>
          <t>Cicilan</t>
        </is>
      </c>
      <c r="K17" t="inlineStr">
        <is>
          <t>081256789012</t>
        </is>
      </c>
    </row>
    <row r="18">
      <c r="A18" t="inlineStr">
        <is>
          <t>TRX016</t>
        </is>
      </c>
      <c r="B18" t="inlineStr">
        <is>
          <t>22/01/24</t>
        </is>
      </c>
      <c r="C18" t="inlineStr">
        <is>
          <t>Purnomo Hadi</t>
        </is>
      </c>
      <c r="D18" t="inlineStr">
        <is>
          <t>Speaker JBL</t>
        </is>
      </c>
      <c r="E18" t="inlineStr">
        <is>
          <t>Elektronik</t>
        </is>
      </c>
      <c r="F18" t="n">
        <v>1</v>
      </c>
      <c r="G18" t="n">
        <v>750000</v>
      </c>
      <c r="H18" t="n">
        <v>750000</v>
      </c>
      <c r="I18" t="inlineStr">
        <is>
          <t>Yogyakarta</t>
        </is>
      </c>
      <c r="J18" t="inlineStr">
        <is>
          <t>Lunas</t>
        </is>
      </c>
      <c r="K18" t="inlineStr">
        <is>
          <t>089765432109</t>
        </is>
      </c>
    </row>
    <row r="19">
      <c r="A19" t="inlineStr">
        <is>
          <t>TRX017</t>
        </is>
      </c>
      <c r="B19" t="inlineStr">
        <is>
          <t>2024-01-23</t>
        </is>
      </c>
      <c r="C19" t="inlineStr">
        <is>
          <t>Qomariyah</t>
        </is>
      </c>
      <c r="D19" t="inlineStr">
        <is>
          <t>Rak Buku</t>
        </is>
      </c>
      <c r="E19" t="inlineStr">
        <is>
          <t>Furniture</t>
        </is>
      </c>
      <c r="F19" t="n">
        <v>2</v>
      </c>
      <c r="G19" t="n">
        <v>320000</v>
      </c>
      <c r="H19" t="n">
        <v>640000</v>
      </c>
      <c r="I19" t="inlineStr">
        <is>
          <t>Surabaya</t>
        </is>
      </c>
      <c r="J19" t="inlineStr">
        <is>
          <t>Lunas</t>
        </is>
      </c>
      <c r="K19" t="inlineStr">
        <is>
          <t>082312345678</t>
        </is>
      </c>
    </row>
    <row r="20">
      <c r="A20" t="inlineStr">
        <is>
          <t>TRX018</t>
        </is>
      </c>
      <c r="B20" t="inlineStr">
        <is>
          <t>2024-01-23</t>
        </is>
      </c>
      <c r="C20" t="inlineStr">
        <is>
          <t>Rizky Firmansyah</t>
        </is>
      </c>
      <c r="D20" t="inlineStr">
        <is>
          <t>Laptop Lenovo</t>
        </is>
      </c>
      <c r="E20" t="inlineStr">
        <is>
          <t>Elektronik</t>
        </is>
      </c>
      <c r="F20" t="n">
        <v>1</v>
      </c>
      <c r="G20" t="n">
        <v>9200000</v>
      </c>
      <c r="H20" t="n">
        <v>-9200000</v>
      </c>
      <c r="I20" t="inlineStr">
        <is>
          <t>jakarta</t>
        </is>
      </c>
      <c r="J20" t="inlineStr">
        <is>
          <t>Lunas</t>
        </is>
      </c>
      <c r="K20" t="inlineStr">
        <is>
          <t>081398765432</t>
        </is>
      </c>
    </row>
    <row r="21">
      <c r="A21" t="inlineStr">
        <is>
          <t>TRX019</t>
        </is>
      </c>
      <c r="B21" t="inlineStr">
        <is>
          <t>2024/01/24</t>
        </is>
      </c>
      <c r="C21" t="inlineStr">
        <is>
          <t>Sri Wahyuni</t>
        </is>
      </c>
      <c r="D21" t="inlineStr">
        <is>
          <t>Dispenser Miyako</t>
        </is>
      </c>
      <c r="E21" t="inlineStr">
        <is>
          <t>Rumah Tangga</t>
        </is>
      </c>
      <c r="F21" t="n">
        <v>1</v>
      </c>
      <c r="G21" t="n">
        <v>280000</v>
      </c>
      <c r="H21" t="n">
        <v>280000</v>
      </c>
      <c r="I21" t="inlineStr">
        <is>
          <t>Denpasar</t>
        </is>
      </c>
      <c r="J21" t="inlineStr">
        <is>
          <t>Lunas</t>
        </is>
      </c>
      <c r="K21" t="inlineStr">
        <is>
          <t>082456789012</t>
        </is>
      </c>
    </row>
    <row r="22">
      <c r="A22" t="inlineStr">
        <is>
          <t>TRX020</t>
        </is>
      </c>
      <c r="B22" t="inlineStr">
        <is>
          <t>2024-01-24</t>
        </is>
      </c>
      <c r="C22" t="inlineStr">
        <is>
          <t>Teguh Santoso</t>
        </is>
      </c>
      <c r="D22" t="inlineStr">
        <is>
          <t>Meja Makan</t>
        </is>
      </c>
      <c r="E22" t="inlineStr">
        <is>
          <t>Furniture</t>
        </is>
      </c>
      <c r="F22" t="n">
        <v>1</v>
      </c>
      <c r="G22" t="n">
        <v>1800000</v>
      </c>
      <c r="H22" t="n">
        <v>1800000</v>
      </c>
      <c r="I22" t="inlineStr">
        <is>
          <t>Solo</t>
        </is>
      </c>
      <c r="J22" t="inlineStr">
        <is>
          <t>BELUM BAYAR</t>
        </is>
      </c>
      <c r="K22" t="inlineStr">
        <is>
          <t>085234567890</t>
        </is>
      </c>
    </row>
    <row r="23">
      <c r="A23" t="inlineStr">
        <is>
          <t>TRX021</t>
        </is>
      </c>
      <c r="B23" t="inlineStr">
        <is>
          <t>25/01/2024</t>
        </is>
      </c>
      <c r="C23" t="inlineStr">
        <is>
          <t>Uma Thurman</t>
        </is>
      </c>
      <c r="D23" t="inlineStr">
        <is>
          <t>Flash Disk 64GB</t>
        </is>
      </c>
      <c r="E23" t="inlineStr">
        <is>
          <t>Elektronik</t>
        </is>
      </c>
      <c r="F23" t="n">
        <v>5</v>
      </c>
      <c r="G23" t="n">
        <v>75000</v>
      </c>
      <c r="H23" t="n">
        <v>375000</v>
      </c>
      <c r="I23" t="inlineStr">
        <is>
          <t>Bandung</t>
        </is>
      </c>
      <c r="J23" t="inlineStr">
        <is>
          <t>Lunas</t>
        </is>
      </c>
      <c r="K23" t="inlineStr">
        <is>
          <t>081456789012</t>
        </is>
      </c>
    </row>
    <row r="24">
      <c r="A24" t="inlineStr">
        <is>
          <t>TRX022</t>
        </is>
      </c>
      <c r="B24" t="inlineStr">
        <is>
          <t>2024-01-25</t>
        </is>
      </c>
      <c r="C24" t="inlineStr">
        <is>
          <t>Vino Bastian</t>
        </is>
      </c>
      <c r="D24" t="inlineStr">
        <is>
          <t>Kursi Gaming</t>
        </is>
      </c>
      <c r="E24" t="inlineStr">
        <is>
          <t>Furniture</t>
        </is>
      </c>
      <c r="F24" t="n">
        <v>1</v>
      </c>
      <c r="G24" t="n">
        <v>1650000</v>
      </c>
      <c r="H24" t="n">
        <v>1650000</v>
      </c>
      <c r="I24" t="inlineStr">
        <is>
          <t>Surabaya</t>
        </is>
      </c>
      <c r="J24" t="inlineStr">
        <is>
          <t>Lunas</t>
        </is>
      </c>
      <c r="K24" t="inlineStr">
        <is>
          <t>087698765432</t>
        </is>
      </c>
    </row>
    <row r="25">
      <c r="A25" t="inlineStr">
        <is>
          <t>TRX023</t>
        </is>
      </c>
      <c r="B25" t="inlineStr">
        <is>
          <t>2024-01-25</t>
        </is>
      </c>
      <c r="C25" t="inlineStr">
        <is>
          <t>Wulandari</t>
        </is>
      </c>
      <c r="D25" t="inlineStr">
        <is>
          <t>Teko Listrik</t>
        </is>
      </c>
      <c r="E25" t="inlineStr">
        <is>
          <t>Rumah Tangga</t>
        </is>
      </c>
      <c r="F25" t="n">
        <v>2</v>
      </c>
      <c r="G25" t="n">
        <v>120000</v>
      </c>
      <c r="H25" t="n">
        <v>240000</v>
      </c>
      <c r="I25" t="inlineStr">
        <is>
          <t>Semarang</t>
        </is>
      </c>
      <c r="J25" t="inlineStr">
        <is>
          <t>lunas</t>
        </is>
      </c>
      <c r="K25" t="inlineStr">
        <is>
          <t>082312345679</t>
        </is>
      </c>
    </row>
    <row r="26">
      <c r="B26" t="inlineStr">
        <is>
          <t>2024-01-26</t>
        </is>
      </c>
      <c r="C26" t="inlineStr">
        <is>
          <t>Xandra Lee</t>
        </is>
      </c>
      <c r="D26" t="inlineStr">
        <is>
          <t>Monitor ASUS</t>
        </is>
      </c>
      <c r="E26" t="inlineStr">
        <is>
          <t>Elektronik</t>
        </is>
      </c>
      <c r="F26" t="n">
        <v>1</v>
      </c>
      <c r="G26" t="n">
        <v>2750000</v>
      </c>
      <c r="H26" t="n">
        <v>2750000</v>
      </c>
      <c r="I26" t="inlineStr">
        <is>
          <t>Jakarta</t>
        </is>
      </c>
      <c r="J26" t="inlineStr">
        <is>
          <t>Lunas</t>
        </is>
      </c>
      <c r="K26" t="inlineStr">
        <is>
          <t>081567890123</t>
        </is>
      </c>
    </row>
    <row r="27">
      <c r="A27" t="inlineStr">
        <is>
          <t>TRX025</t>
        </is>
      </c>
      <c r="B27" t="inlineStr">
        <is>
          <t>2024-01-26</t>
        </is>
      </c>
      <c r="C27" t="inlineStr">
        <is>
          <t>Yusuf Amin</t>
        </is>
      </c>
      <c r="D27" t="inlineStr">
        <is>
          <t>Kasur Spring Bed</t>
        </is>
      </c>
      <c r="E27" t="inlineStr">
        <is>
          <t>Furniture</t>
        </is>
      </c>
      <c r="F27" t="n">
        <v>1</v>
      </c>
      <c r="G27" t="n">
        <v>3500000</v>
      </c>
      <c r="H27" t="n">
        <v>3500000</v>
      </c>
      <c r="I27" t="inlineStr">
        <is>
          <t>Malang</t>
        </is>
      </c>
      <c r="J27" t="inlineStr">
        <is>
          <t>DP</t>
        </is>
      </c>
      <c r="K27" t="inlineStr">
        <is>
          <t>085345678901</t>
        </is>
      </c>
    </row>
    <row r="28">
      <c r="A28" t="inlineStr">
        <is>
          <t>TRX026</t>
        </is>
      </c>
      <c r="B28" t="inlineStr">
        <is>
          <t>2024-01-27</t>
        </is>
      </c>
      <c r="C28" t="inlineStr">
        <is>
          <t>Zahra Putri</t>
        </is>
      </c>
      <c r="D28" t="inlineStr">
        <is>
          <t>Laptop HP</t>
        </is>
      </c>
      <c r="E28" t="inlineStr">
        <is>
          <t>ELEKTRONIK</t>
        </is>
      </c>
      <c r="F28" t="n">
        <v>1</v>
      </c>
      <c r="G28" t="n">
        <v>7800000</v>
      </c>
      <c r="H28" t="n">
        <v>7800000</v>
      </c>
      <c r="I28" t="inlineStr">
        <is>
          <t>Yogyakarta</t>
        </is>
      </c>
      <c r="J28" t="inlineStr">
        <is>
          <t>Lunas</t>
        </is>
      </c>
      <c r="K28" t="inlineStr">
        <is>
          <t>081678901234</t>
        </is>
      </c>
    </row>
    <row r="29">
      <c r="A29" t="inlineStr">
        <is>
          <t>TRX027</t>
        </is>
      </c>
      <c r="B29" t="inlineStr">
        <is>
          <t>27/01/2024</t>
        </is>
      </c>
      <c r="C29" t="inlineStr">
        <is>
          <t xml:space="preserve">Bambang Pamungkas </t>
        </is>
      </c>
      <c r="D29" t="inlineStr">
        <is>
          <t>Charger Laptop</t>
        </is>
      </c>
      <c r="E29" t="inlineStr">
        <is>
          <t>Elektronik</t>
        </is>
      </c>
      <c r="F29" t="n">
        <v>3</v>
      </c>
      <c r="G29" t="n">
        <v>120000</v>
      </c>
      <c r="H29" t="n">
        <v>360000</v>
      </c>
      <c r="I29" t="inlineStr">
        <is>
          <t>SURABAYA</t>
        </is>
      </c>
      <c r="J29" t="inlineStr">
        <is>
          <t>Lunas</t>
        </is>
      </c>
      <c r="K29" t="inlineStr"/>
    </row>
    <row r="30">
      <c r="A30" t="inlineStr">
        <is>
          <t>TRX028</t>
        </is>
      </c>
      <c r="B30" t="inlineStr">
        <is>
          <t>2024-01-28</t>
        </is>
      </c>
      <c r="C30" t="inlineStr">
        <is>
          <t>Cahya Ningrum</t>
        </is>
      </c>
      <c r="D30" t="inlineStr">
        <is>
          <t>Kulkas Samsung</t>
        </is>
      </c>
      <c r="E30" t="inlineStr">
        <is>
          <t>Elektronik</t>
        </is>
      </c>
      <c r="F30" t="n">
        <v>1</v>
      </c>
      <c r="G30" t="n">
        <v>4200000</v>
      </c>
      <c r="H30" t="n">
        <v>4200000</v>
      </c>
      <c r="I30" t="inlineStr">
        <is>
          <t>Bandung</t>
        </is>
      </c>
      <c r="J30" t="inlineStr">
        <is>
          <t>Cicilan</t>
        </is>
      </c>
      <c r="K30" t="inlineStr">
        <is>
          <t>082234567890</t>
        </is>
      </c>
    </row>
    <row r="31">
      <c r="A31" t="inlineStr">
        <is>
          <t>TRX029</t>
        </is>
      </c>
      <c r="B31" t="inlineStr">
        <is>
          <t>2024-01-28</t>
        </is>
      </c>
      <c r="C31" t="inlineStr">
        <is>
          <t>Dani Setiawan</t>
        </is>
      </c>
      <c r="D31" t="inlineStr">
        <is>
          <t>Pompa Air</t>
        </is>
      </c>
      <c r="E31" t="inlineStr">
        <is>
          <t>Rumah Tangga</t>
        </is>
      </c>
      <c r="F31" t="n">
        <v>1</v>
      </c>
      <c r="G31" t="n">
        <v>650000</v>
      </c>
      <c r="H31" t="n">
        <v>6500000</v>
      </c>
      <c r="I31" t="inlineStr">
        <is>
          <t>jakarta</t>
        </is>
      </c>
      <c r="J31" t="inlineStr">
        <is>
          <t>Lunas</t>
        </is>
      </c>
      <c r="K31" t="inlineStr">
        <is>
          <t>081789012345</t>
        </is>
      </c>
    </row>
    <row r="32">
      <c r="A32" t="inlineStr">
        <is>
          <t>TRX030</t>
        </is>
      </c>
      <c r="B32" t="inlineStr">
        <is>
          <t>28-01-2024</t>
        </is>
      </c>
      <c r="C32" t="inlineStr">
        <is>
          <t>Erni Susanti</t>
        </is>
      </c>
      <c r="D32" t="inlineStr">
        <is>
          <t>Bantal Tidur</t>
        </is>
      </c>
      <c r="E32" t="inlineStr">
        <is>
          <t>Rumah tangga</t>
        </is>
      </c>
      <c r="F32" t="n">
        <v>4</v>
      </c>
      <c r="G32" t="n">
        <v>85000</v>
      </c>
      <c r="H32" t="n">
        <v>340000</v>
      </c>
      <c r="I32" t="inlineStr">
        <is>
          <t>Solo</t>
        </is>
      </c>
      <c r="J32" t="inlineStr">
        <is>
          <t>Lunas</t>
        </is>
      </c>
      <c r="K32" t="inlineStr">
        <is>
          <t>085456789012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52" customWidth="1" min="3" max="3"/>
    <col width="46" customWidth="1" min="4" max="4"/>
  </cols>
  <sheetData>
    <row r="1" ht="35" customHeight="1">
      <c r="A1" s="2" t="inlineStr">
        <is>
          <t>🧹 PANDUAN PEMBERSIHAN DATA — LATIHAN DATA ANALYST</t>
        </is>
      </c>
    </row>
    <row r="2">
      <c r="A2" s="3" t="inlineStr">
        <is>
          <t>Sheet 'Data Penjualan' sengaja dibuat kotor. Ikuti 10 langkah berikut untuk membersihkannya.</t>
        </is>
      </c>
    </row>
    <row r="4" ht="20" customHeight="1">
      <c r="A4" s="4" t="inlineStr">
        <is>
          <t>#</t>
        </is>
      </c>
      <c r="B4" s="4" t="inlineStr">
        <is>
          <t>Masalah / Isu Data</t>
        </is>
      </c>
      <c r="C4" s="4" t="inlineStr">
        <is>
          <t>Cara Membersihkan di Excel</t>
        </is>
      </c>
      <c r="D4" s="4" t="inlineStr">
        <is>
          <t>Fungsi / Fitur Excel yang Digunakan</t>
        </is>
      </c>
    </row>
    <row r="5" ht="45" customHeight="1">
      <c r="A5" s="5" t="inlineStr">
        <is>
          <t>1</t>
        </is>
      </c>
      <c r="B5" s="6" t="inlineStr">
        <is>
          <t>Data Duplikat
(TRX001 muncul 2x di baris 2 &amp; 5)</t>
        </is>
      </c>
      <c r="C5" s="6" t="inlineStr">
        <is>
          <t>1. Pilih seluruh data (Ctrl+A)
2. Klik tab Data → Remove Duplicates
3. Centang kolom 'ID Transaksi'
4. Klik OK → catat berapa baris dihapus</t>
        </is>
      </c>
      <c r="D5" s="6" t="inlineStr">
        <is>
          <t>Data → Remove Duplicates
Rumus deteksi: =COUNTIF($A$2:$A$31,A2)&gt;1</t>
        </is>
      </c>
    </row>
    <row r="6" ht="45" customHeight="1">
      <c r="A6" s="7" t="inlineStr">
        <is>
          <t>2</t>
        </is>
      </c>
      <c r="B6" s="8" t="inlineStr">
        <is>
          <t>ID Transaksi Kosong
(Baris 25: TRX024 tidak ada)</t>
        </is>
      </c>
      <c r="C6" s="8" t="inlineStr">
        <is>
          <t>1. Gunakan Find &amp; Select → Go To Special → Blanks
2. Isi manual dengan ID yang sesuai urutan
3. Atau gunakan rumus untuk generate ID otomatis</t>
        </is>
      </c>
      <c r="D6" s="8" t="inlineStr">
        <is>
          <t>Home → Find &amp; Select → Go To Special
=IF(A2="","TRX"&amp;TEXT(ROW()-1,"000"),A2)</t>
        </is>
      </c>
    </row>
    <row r="7" ht="45" customHeight="1">
      <c r="A7" s="5" t="inlineStr">
        <is>
          <t>3</t>
        </is>
      </c>
      <c r="B7" s="6" t="inlineStr">
        <is>
          <t>Format Tanggal Tidak Konsisten
(ada: 15/01/2024, Jan 17 2024, 22/01/24, 18-01-2024)</t>
        </is>
      </c>
      <c r="C7" s="6" t="inlineStr">
        <is>
          <t>1. Pilih kolom Tanggal (kolom B)
2. Klik kanan → Format Cells → Date → pilih format 2024-01-15
3. Untuk teks: gunakan kolom bantu dengan DATEVALUE()
4. Paste Special → Values, lalu hapus kolom bantu</t>
        </is>
      </c>
      <c r="D7" s="6">
        <f>DATEVALUE(B2) → ubah teks ke angka tanggal
=TEXT(B2,"YYYY-MM-DD") → format ulang
Data → Text to Columns untuk teks tanggal</f>
        <v/>
      </c>
    </row>
    <row r="8" ht="45" customHeight="1">
      <c r="A8" s="7" t="inlineStr">
        <is>
          <t>4</t>
        </is>
      </c>
      <c r="B8" s="8" t="inlineStr">
        <is>
          <t>Nama Pelanggan Tidak Konsisten
(huruf kapital campur, spasi di awal/akhir: '  Eko', 'Bambang Pamungkas ')</t>
        </is>
      </c>
      <c r="C8" s="8" t="inlineStr">
        <is>
          <t>1. Buat kolom bantu di sebelah kanan
2. Gunakan PROPER() untuk huruf kapital benar
3. Gunakan TRIM() untuk hapus spasi berlebih
4. Gabungkan: =PROPER(TRIM(C2))
5. Copy → Paste Special Values → hapus kolom asli</t>
        </is>
      </c>
      <c r="D8" s="8">
        <f>TRIM(C2) → hapus spasi
=PROPER(C2) → Title Case
=PROPER(TRIM(C2)) → gabungan keduanya</f>
        <v/>
      </c>
    </row>
    <row r="9" ht="45" customHeight="1">
      <c r="A9" s="5" t="inlineStr">
        <is>
          <t>5</t>
        </is>
      </c>
      <c r="B9" s="6" t="inlineStr">
        <is>
          <t>Kategori Tidak Konsisten
('elektronik', 'ELEKTRONIK', 'Elektronik', 'rumah tangga')</t>
        </is>
      </c>
      <c r="C9" s="6" t="inlineStr">
        <is>
          <t>1. Buat kolom bantu
2. Gunakan PROPER() atau UPPER()/LOWER()
3. Pilih standar: misal 'Elektronik', 'Furniture', 'Rumah Tangga'
4. Gunakan Find &amp; Replace (Ctrl+H) untuk massal</t>
        </is>
      </c>
      <c r="D9" s="6">
        <f>PROPER(E2)
Ctrl+H → Find: elektronik → Replace: Elektronik
Data → Sort untuk cek inkonsistensi</f>
        <v/>
      </c>
    </row>
    <row r="10" ht="45" customHeight="1">
      <c r="A10" s="7" t="inlineStr">
        <is>
          <t>6</t>
        </is>
      </c>
      <c r="B10" s="8" t="inlineStr">
        <is>
          <t>Harga Satuan Berformat Teks
('150.000', '600000' sebagai teks — ada tanda kutip)</t>
        </is>
      </c>
      <c r="C10" s="8" t="inlineStr">
        <is>
          <t>1. Identifikasi: cek tanda segitiga hijau kecil di pojok sel
2. Klik ikon seru kuning → Convert to Number
3. Atau: kolom bantu =VALUE(SUBSTITUTE(F2,".",""))
4. Untuk massal: Data → Text to Columns → Finish</t>
        </is>
      </c>
      <c r="D10" s="8">
        <f>VALUE(F2) → konversi teks ke angka
=SUBSTITUTE(F2,".","") → hapus titik ribuan
Data → Text to Columns → General</f>
        <v/>
      </c>
    </row>
    <row r="11" ht="45" customHeight="1">
      <c r="A11" s="5" t="inlineStr">
        <is>
          <t>7</t>
        </is>
      </c>
      <c r="B11" s="6" t="inlineStr">
        <is>
          <t>Kolom Total Kosong &amp; Salah
(baris 5 kosong, baris 19 negatif, baris 30 salah 10x lipat)</t>
        </is>
      </c>
      <c r="C11" s="6" t="inlineStr">
        <is>
          <t>1. Total kosong: isi dengan =F*G (Jumlah × Harga)
2. Cek total negatif: gunakan =ABS() atau koreksi manual
3. Deteksi outlier: =IF(H2&lt;&gt;F2*G2,"ERROR","OK")
4. Buat kolom validasi untuk cross-check</t>
        </is>
      </c>
      <c r="D11" s="6">
        <f>F2*G2 → hitung ulang total
=IF(H2&lt;&gt;F2*G2,"SALAH","OK") → validasi
=ABS(H2) → ubah negatif jadi positif
Conditional Formatting untuk highlight error</f>
        <v/>
      </c>
    </row>
    <row r="12" ht="45" customHeight="1">
      <c r="A12" s="7" t="inlineStr">
        <is>
          <t>8</t>
        </is>
      </c>
      <c r="B12" s="8" t="inlineStr">
        <is>
          <t>Nama Kota Tidak Konsisten
('JAKARTA', 'jakarta', 'Jakarta', 'SURABAYA')</t>
        </is>
      </c>
      <c r="C12" s="8" t="inlineStr">
        <is>
          <t>1. Buat kolom bantu
2. Gunakan PROPER() untuk standarisasi
3. Atau gunakan Ctrl+H untuk replace massal
4. Buat dropdown validasi dengan Data Validation</t>
        </is>
      </c>
      <c r="D12" s="8">
        <f>PROPER(I2)
Ctrl+H → Find: JAKARTA → Replace: Jakarta
Data → Data Validation → List untuk dropdown standar</f>
        <v/>
      </c>
    </row>
    <row r="13" ht="45" customHeight="1">
      <c r="A13" s="5" t="inlineStr">
        <is>
          <t>9</t>
        </is>
      </c>
      <c r="B13" s="6" t="inlineStr">
        <is>
          <t>Status Pembayaran Tidak Konsisten
('lunas', 'LUNAS', 'Lunas', 'DP', 'Belum bayar', 'BELUM BAYAR')</t>
        </is>
      </c>
      <c r="C13" s="6" t="inlineStr">
        <is>
          <t>1. Tentukan nilai standar: Lunas / Belum Bayar / Cicilan / DP
2. Buat kolom bantu dengan IF/IFS untuk normalisasi
3. Gunakan Find &amp; Replace untuk setiap variasi
4. Terapkan Data Validation agar input selanjutnya konsisten</t>
        </is>
      </c>
      <c r="D13" s="6">
        <f>PROPER(J2)
=IFS(LOWER(J2)="lunas","Lunas",LOWER(J2)="belum bayar","Belum Bayar",TRUE,J2)
Data → Data Validation → List</f>
        <v/>
      </c>
    </row>
    <row r="14" ht="45" customHeight="1">
      <c r="A14" s="7" t="inlineStr">
        <is>
          <t>10</t>
        </is>
      </c>
      <c r="B14" s="8" t="inlineStr">
        <is>
          <t>No. HP Tidak Konsisten &amp; Kosong
('0856-1234-5678', '62812345678', 'N/A', '' (kosong))</t>
        </is>
      </c>
      <c r="C14" s="8" t="inlineStr">
        <is>
          <t>1. Hapus tanda hubung: =SUBSTITUTE(K2,"-","")
2. Standarisasi kode negara: ganti 62 → 0 di awal
3. Isi 'N/A' dan kosong dengan 'Tidak Tersedia'
4. Validasi panjang: nomor HP harus 10-13 digit</t>
        </is>
      </c>
      <c r="D14" s="8">
        <f>SUBSTITUTE(SUBSTITUTE(K2,"-","")," ","") → bersihkan format
=IF(LEFT(K2,2)="62","0"&amp;MID(K2,3,20),K2) → normalisasi
=IF(OR(K2="",K2="N/A"),"Tidak Tersedia",K2)
=LEN(K2) → cek panjang nomor</f>
        <v/>
      </c>
    </row>
    <row r="16" ht="20" customHeight="1">
      <c r="A16" s="9" t="inlineStr">
        <is>
          <t>💡 TIPS UMUM DATA CLEANING</t>
        </is>
      </c>
    </row>
    <row r="17" ht="18" customHeight="1">
      <c r="A17" s="10" t="inlineStr">
        <is>
          <t>✅ Selalu backup file asli sebelum mulai cleaning (Save As dengan nama baru)</t>
        </is>
      </c>
    </row>
    <row r="18" ht="18" customHeight="1">
      <c r="A18" s="10" t="inlineStr">
        <is>
          <t>✅ Catat setiap perubahan di kolom 'Catatan' atau sheet terpisah agar bisa di-audit</t>
        </is>
      </c>
    </row>
    <row r="19" ht="18" customHeight="1">
      <c r="A19" s="10" t="inlineStr">
        <is>
          <t>✅ Gunakan Conditional Formatting untuk highlight nilai duplikat, kosong, atau outlier secara visual</t>
        </is>
      </c>
    </row>
    <row r="20" ht="18" customHeight="1">
      <c r="A20" s="10" t="inlineStr">
        <is>
          <t>✅ Setelah selesai, buat Pivot Table untuk verifikasi distribusi data sudah bersih dan masuk akal</t>
        </is>
      </c>
    </row>
  </sheetData>
  <mergeCells count="7">
    <mergeCell ref="A1:D1"/>
    <mergeCell ref="A17:D17"/>
    <mergeCell ref="A18:D18"/>
    <mergeCell ref="A20:D20"/>
    <mergeCell ref="A16:D16"/>
    <mergeCell ref="A2:D2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2026-05-18T02:32:43Z</dcterms:created>
  <dcterms:modified xmlns:dcterms="http://purl.org/dc/terms/" xmlns:xsi="http://www.w3.org/2001/XMLSchema-instance" xsi:type="dcterms:W3CDTF">2026-05-18T02:32:43Z</dcterms:modified>
</cp:coreProperties>
</file>